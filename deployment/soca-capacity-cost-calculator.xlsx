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c-mini-home/Supriyadi/Projects/soca-client-server/soca-documentation/deployment/"/>
    </mc:Choice>
  </mc:AlternateContent>
  <xr:revisionPtr revIDLastSave="0" documentId="11_5DAB3C9DE042391A1B938F827F690F8ED34243D6" xr6:coauthVersionLast="47" xr6:coauthVersionMax="47" xr10:uidLastSave="{00000000-0000-0000-0000-000000000000}"/>
  <bookViews>
    <workbookView xWindow="0" yWindow="600" windowWidth="51200" windowHeight="19200" activeTab="4" xr2:uid="{00000000-000D-0000-FFFF-FFFF00000000}"/>
  </bookViews>
  <sheets>
    <sheet name="📥 Inputs" sheetId="1" r:id="rId1"/>
    <sheet name="📊 Usage &amp; Capacity" sheetId="2" r:id="rId2"/>
    <sheet name="💰 Cost Breakdown" sheetId="3" r:id="rId3"/>
    <sheet name="🖥 Infrastructure" sheetId="4" r:id="rId4"/>
    <sheet name="📋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C8" i="5"/>
  <c r="C5" i="5"/>
  <c r="E14" i="4"/>
  <c r="E13" i="4"/>
  <c r="E12" i="4"/>
  <c r="E11" i="4"/>
  <c r="D7" i="4"/>
  <c r="D6" i="4"/>
  <c r="E18" i="3"/>
  <c r="F18" i="3" s="1"/>
  <c r="D18" i="3"/>
  <c r="E17" i="3"/>
  <c r="E19" i="3" s="1"/>
  <c r="C14" i="5" s="1"/>
  <c r="D17" i="3"/>
  <c r="D13" i="3"/>
  <c r="D12" i="3"/>
  <c r="D11" i="3"/>
  <c r="D10" i="3"/>
  <c r="D5" i="3"/>
  <c r="C25" i="2"/>
  <c r="C24" i="2"/>
  <c r="C17" i="2"/>
  <c r="C9" i="2"/>
  <c r="C8" i="2"/>
  <c r="C10" i="2" s="1"/>
  <c r="C11" i="2" s="1"/>
  <c r="C12" i="2" s="1"/>
  <c r="C13" i="2" s="1"/>
  <c r="C6" i="2"/>
  <c r="C5" i="2"/>
  <c r="C34" i="2" s="1"/>
  <c r="E8" i="1"/>
  <c r="C8" i="1"/>
  <c r="C6" i="5" s="1"/>
  <c r="C26" i="2" l="1"/>
  <c r="C32" i="2"/>
  <c r="C18" i="2"/>
  <c r="C19" i="2" s="1"/>
  <c r="C20" i="2" s="1"/>
  <c r="C29" i="2"/>
  <c r="C28" i="2"/>
  <c r="C14" i="2"/>
  <c r="C7" i="5"/>
  <c r="C7" i="2"/>
  <c r="C33" i="2"/>
  <c r="F17" i="3"/>
  <c r="F19" i="3" s="1"/>
  <c r="D14" i="5" s="1"/>
  <c r="C22" i="5" l="1"/>
  <c r="E6" i="3"/>
  <c r="F6" i="3" s="1"/>
  <c r="C21" i="2"/>
  <c r="C11" i="3"/>
  <c r="E11" i="3"/>
  <c r="F11" i="3" s="1"/>
  <c r="E12" i="3"/>
  <c r="F12" i="3" s="1"/>
  <c r="C12" i="3"/>
  <c r="C35" i="2"/>
  <c r="E5" i="3" l="1"/>
  <c r="C5" i="3"/>
  <c r="E7" i="3" l="1"/>
  <c r="F5" i="3"/>
  <c r="F7" i="3" s="1"/>
  <c r="D12" i="5" l="1"/>
  <c r="C12" i="5"/>
  <c r="E21" i="3"/>
  <c r="C10" i="3"/>
  <c r="C21" i="5"/>
  <c r="C13" i="3"/>
  <c r="E13" i="3"/>
  <c r="F13" i="3"/>
  <c r="F21" i="3"/>
  <c r="F10" i="3"/>
  <c r="F14" i="3"/>
  <c r="D13" i="5"/>
  <c r="D15" i="5"/>
  <c r="C19" i="5"/>
  <c r="C20" i="5"/>
  <c r="E14" i="5"/>
  <c r="C18" i="5"/>
  <c r="C15" i="5"/>
  <c r="E12" i="5"/>
  <c r="C27" i="2"/>
  <c r="E10" i="3"/>
  <c r="E14" i="3"/>
  <c r="C13" i="5"/>
  <c r="E13" i="5"/>
</calcChain>
</file>

<file path=xl/sharedStrings.xml><?xml version="1.0" encoding="utf-8"?>
<sst xmlns="http://schemas.openxmlformats.org/spreadsheetml/2006/main" count="316" uniqueCount="270">
  <si>
    <t>SOCA Platform — Capacity &amp; Cost Calculator</t>
  </si>
  <si>
    <t>Fill in the BLUE cells. All other cells are calculated automatically.</t>
  </si>
  <si>
    <t xml:space="preserve">  EDGE DEPLOYMENT  (soca-dashboard + soca-engine per device)</t>
  </si>
  <si>
    <t>Parameter</t>
  </si>
  <si>
    <t>Value</t>
  </si>
  <si>
    <t>Unit</t>
  </si>
  <si>
    <t>Notes</t>
  </si>
  <si>
    <t>Number of Edge Devices</t>
  </si>
  <si>
    <t>devices</t>
  </si>
  <si>
    <t>Each device runs soca-dashboard + soca-engine</t>
  </si>
  <si>
    <t>Cameras per Edge Device</t>
  </si>
  <si>
    <t>cameras</t>
  </si>
  <si>
    <t>IP cameras connected to each edge</t>
  </si>
  <si>
    <t>Total Cameras</t>
  </si>
  <si>
    <t>Detection Events per Camera</t>
  </si>
  <si>
    <t>events/hour</t>
  </si>
  <si>
    <t>Avg detections triggered per camera per hour</t>
  </si>
  <si>
    <t>Active Hours per Day</t>
  </si>
  <si>
    <t>hours/day</t>
  </si>
  <si>
    <t>Camera operational hours (0–24)</t>
  </si>
  <si>
    <t>Snapshot Size per Alert</t>
  </si>
  <si>
    <t>KB</t>
  </si>
  <si>
    <t>Typical JPEG snapshot ~50–300 KB</t>
  </si>
  <si>
    <t>GCS Path Prefix per Edge</t>
  </si>
  <si>
    <t>prefix</t>
  </si>
  <si>
    <t>1 prefix per edge (e.g. edge-jakarta-01/)</t>
  </si>
  <si>
    <t xml:space="preserve">  CLOUD DEPLOYMENT  (soca-control + soca-service)</t>
  </si>
  <si>
    <t>Cloud Region</t>
  </si>
  <si>
    <t>asia-southeast1</t>
  </si>
  <si>
    <t>GCP region for Pub/Sub, GCS, Cloud Run</t>
  </si>
  <si>
    <t>Ingest API Calls/Alert</t>
  </si>
  <si>
    <t>calls</t>
  </si>
  <si>
    <t>HTTP calls from soca-service → soca-control per alert</t>
  </si>
  <si>
    <t xml:space="preserve">  RETENTION &amp; TIME PARAMETERS</t>
  </si>
  <si>
    <t>Days per Month</t>
  </si>
  <si>
    <t>days</t>
  </si>
  <si>
    <t>Used for monthly cost projection</t>
  </si>
  <si>
    <t>GCS Snapshot Retention</t>
  </si>
  <si>
    <t>How long snapshots kept in GCS Standard tier</t>
  </si>
  <si>
    <t>Pub/Sub Message Size</t>
  </si>
  <si>
    <t>Pub/Sub payload overhead (JSON detection data)</t>
  </si>
  <si>
    <t>Pub/Sub Ack Deadline</t>
  </si>
  <si>
    <t>sec</t>
  </si>
  <si>
    <t>Max time before message redelivery</t>
  </si>
  <si>
    <t xml:space="preserve">  GCP PRICING REFERENCE  (edit to update pricing)</t>
  </si>
  <si>
    <t>Pub/Sub — per GB throughput</t>
  </si>
  <si>
    <t>$/GB</t>
  </si>
  <si>
    <t>After free tier (10 GB/month)</t>
  </si>
  <si>
    <t>Pub/Sub — free tier</t>
  </si>
  <si>
    <t>GB/month</t>
  </si>
  <si>
    <t>First 10 GB free per month</t>
  </si>
  <si>
    <t>GCS Standard Storage</t>
  </si>
  <si>
    <t>$/GB/month</t>
  </si>
  <si>
    <t>asia-southeast1 region</t>
  </si>
  <si>
    <t>GCS Nearline Storage</t>
  </si>
  <si>
    <t>For older snapshots (&gt;30 days)</t>
  </si>
  <si>
    <t>GCS Write Ops (Class A)</t>
  </si>
  <si>
    <t>$/10,000 ops</t>
  </si>
  <si>
    <t>PUT, POST to GCS</t>
  </si>
  <si>
    <t>GCS Read Ops (Class B)</t>
  </si>
  <si>
    <t>GET from GCS</t>
  </si>
  <si>
    <t>GCS Egress (internet)</t>
  </si>
  <si>
    <t>After 1 GB free/month</t>
  </si>
  <si>
    <t>Cloud Run — vCPU</t>
  </si>
  <si>
    <t>$/vCPU-second</t>
  </si>
  <si>
    <t>When processing requests</t>
  </si>
  <si>
    <t>Cloud Run — Memory</t>
  </si>
  <si>
    <t>$/GB-second</t>
  </si>
  <si>
    <t>Cloud Run — Requests</t>
  </si>
  <si>
    <t>$/million req</t>
  </si>
  <si>
    <t>After 2 million free/month</t>
  </si>
  <si>
    <t>GCE e2-micro (shared)</t>
  </si>
  <si>
    <t>$/month</t>
  </si>
  <si>
    <t>0.25 vCPU, 1 GB RAM</t>
  </si>
  <si>
    <t>GCE e2-small (shared)</t>
  </si>
  <si>
    <t>0.5 vCPU, 2 GB RAM</t>
  </si>
  <si>
    <t>GCE e2-medium (shared)</t>
  </si>
  <si>
    <t>1 vCPU, 4 GB RAM</t>
  </si>
  <si>
    <t>GCE e2-standard-2</t>
  </si>
  <si>
    <t>2 vCPU, 8 GB RAM</t>
  </si>
  <si>
    <t>Usage &amp; Capacity Calculations</t>
  </si>
  <si>
    <t>All values derived from '📥 Inputs' sheet</t>
  </si>
  <si>
    <t xml:space="preserve">  VOLUME — DETECTIONS &amp; ALERTS</t>
  </si>
  <si>
    <t>Total Edge Devices</t>
  </si>
  <si>
    <t>Cameras per Edge</t>
  </si>
  <si>
    <t>Detections / Camera / Hr</t>
  </si>
  <si>
    <t>events/hr</t>
  </si>
  <si>
    <t>Active Hours / Day</t>
  </si>
  <si>
    <t>hrs/day</t>
  </si>
  <si>
    <t>Alerts / Camera / Day</t>
  </si>
  <si>
    <t>alerts/day</t>
  </si>
  <si>
    <t>Alerts / Edge / Day</t>
  </si>
  <si>
    <t>sum per edge device</t>
  </si>
  <si>
    <t>Total Alerts / Day</t>
  </si>
  <si>
    <t>all edges</t>
  </si>
  <si>
    <t>Total Alerts / Month</t>
  </si>
  <si>
    <t>alerts/month</t>
  </si>
  <si>
    <t>Total Alerts / Year</t>
  </si>
  <si>
    <t>alerts/year</t>
  </si>
  <si>
    <t xml:space="preserve">  PUB/SUB THROUGHPUT</t>
  </si>
  <si>
    <t>Pub/Sub Msg Size</t>
  </si>
  <si>
    <t>from Inputs</t>
  </si>
  <si>
    <t>Messages / Month</t>
  </si>
  <si>
    <t>messages</t>
  </si>
  <si>
    <t>1 msg per alert</t>
  </si>
  <si>
    <t>Data Volume / Month (KB)</t>
  </si>
  <si>
    <t>KB/month</t>
  </si>
  <si>
    <t>Data Volume / Month (GB)</t>
  </si>
  <si>
    <t>Billable GB (after 10 free)</t>
  </si>
  <si>
    <t>first 10 GB free</t>
  </si>
  <si>
    <t xml:space="preserve">  GCS STORAGE — SNAPSHOTS</t>
  </si>
  <si>
    <t>Snapshot Size</t>
  </si>
  <si>
    <t>per alert</t>
  </si>
  <si>
    <t>Retention Period</t>
  </si>
  <si>
    <t>Snapshots Stored</t>
  </si>
  <si>
    <t>snapshots</t>
  </si>
  <si>
    <t>active retention window</t>
  </si>
  <si>
    <t>Storage Volume</t>
  </si>
  <si>
    <t>GB</t>
  </si>
  <si>
    <t>total stored</t>
  </si>
  <si>
    <t>Write Ops / Month</t>
  </si>
  <si>
    <t>ops/month</t>
  </si>
  <si>
    <t>1 write per alert</t>
  </si>
  <si>
    <t>Read Ops / Month</t>
  </si>
  <si>
    <t>est. 30% read rate for monitoring</t>
  </si>
  <si>
    <t xml:space="preserve">  SOCA-SERVICE — API CALL VOLUME</t>
  </si>
  <si>
    <t>Ingest Calls / Month</t>
  </si>
  <si>
    <t>calls/month</t>
  </si>
  <si>
    <t>to soca-control /api/v1/ingest/</t>
  </si>
  <si>
    <t>Edge Poll Calls / Month</t>
  </si>
  <si>
    <t>30s interval × 2 consumers</t>
  </si>
  <si>
    <t>Health Check Calls / Month</t>
  </si>
  <si>
    <t>soca-control polls every 15s</t>
  </si>
  <si>
    <t>Total API Calls / Month</t>
  </si>
  <si>
    <t>Monthly Cost Breakdown</t>
  </si>
  <si>
    <t>Service / Component</t>
  </si>
  <si>
    <t>Monthly Volume</t>
  </si>
  <si>
    <t>Unit Price</t>
  </si>
  <si>
    <t>Monthly Cost</t>
  </si>
  <si>
    <t>Annual Cost</t>
  </si>
  <si>
    <t xml:space="preserve">  GOOGLE CLOUD PUB/SUB</t>
  </si>
  <si>
    <t>Message Throughput (Billable GB)</t>
  </si>
  <si>
    <t>After 10 GB free tier deducted</t>
  </si>
  <si>
    <t>Pub/Sub — Free Tier Credit</t>
  </si>
  <si>
    <t>10</t>
  </si>
  <si>
    <t>—</t>
  </si>
  <si>
    <t>First 10 GB/month free</t>
  </si>
  <si>
    <t>Pub/Sub Subtotal</t>
  </si>
  <si>
    <t xml:space="preserve">  GOOGLE CLOUD STORAGE (GCS) — SNAPSHOTS</t>
  </si>
  <si>
    <t>Standard Storage</t>
  </si>
  <si>
    <t>Active retention window</t>
  </si>
  <si>
    <t>Write Operations (Class A)</t>
  </si>
  <si>
    <t>Per 10,000 ops</t>
  </si>
  <si>
    <t>Read Operations (Class B)</t>
  </si>
  <si>
    <t>Egress (est. 10% of snapshots)</t>
  </si>
  <si>
    <t>Estimated outbound traffic</t>
  </si>
  <si>
    <t>GCS Subtotal</t>
  </si>
  <si>
    <t xml:space="preserve">  CLOUD INFRASTRUCTURE — soca-control + soca-service</t>
  </si>
  <si>
    <t>soca-control (VM / Cloud Run)</t>
  </si>
  <si>
    <t>1</t>
  </si>
  <si>
    <t>See Infrastructure sheet for sizing</t>
  </si>
  <si>
    <t>soca-service (VM / Cloud Run)</t>
  </si>
  <si>
    <t>Infrastructure Subtotal</t>
  </si>
  <si>
    <t>TOTAL MONTHLY CLOUD COST</t>
  </si>
  <si>
    <t>Infrastructure Sizing Guide</t>
  </si>
  <si>
    <t>Select deployment type and instance. Costs flow to Cost Breakdown sheet.</t>
  </si>
  <si>
    <t xml:space="preserve">  CLOUD DEPLOYMENT SELECTION</t>
  </si>
  <si>
    <t>Component</t>
  </si>
  <si>
    <t>Selected Instance</t>
  </si>
  <si>
    <t>soca-control</t>
  </si>
  <si>
    <t>e2-small</t>
  </si>
  <si>
    <t>Django + gunicorn, 2 workers</t>
  </si>
  <si>
    <t>soca-service</t>
  </si>
  <si>
    <t>e2-micro</t>
  </si>
  <si>
    <t>FastAPI + uvicorn, lightweight</t>
  </si>
  <si>
    <t xml:space="preserve">  GCE VM SIZING REFERENCE</t>
  </si>
  <si>
    <t>Instance</t>
  </si>
  <si>
    <t>vCPU</t>
  </si>
  <si>
    <t>RAM (GB)</t>
  </si>
  <si>
    <t>Recommended For</t>
  </si>
  <si>
    <t>0.25 (shared)</t>
  </si>
  <si>
    <t>soca-service only  (&lt;50 edges)</t>
  </si>
  <si>
    <t>0.5 (shared)</t>
  </si>
  <si>
    <t>2</t>
  </si>
  <si>
    <t>soca-control + service  (&lt;100 edges)</t>
  </si>
  <si>
    <t>e2-medium</t>
  </si>
  <si>
    <t>1 (shared)</t>
  </si>
  <si>
    <t>4</t>
  </si>
  <si>
    <t>Medium deployment  (100–500 edges)</t>
  </si>
  <si>
    <t>e2-standard-2</t>
  </si>
  <si>
    <t>8</t>
  </si>
  <si>
    <t>Large deployment  (500+ edges)</t>
  </si>
  <si>
    <t xml:space="preserve">  EDGE DEVICE SIZING (soca-dashboard + soca-engine)</t>
  </si>
  <si>
    <t>Edge devices are on-premise — no cloud cost. Sizing depends on camera count and model type.</t>
  </si>
  <si>
    <t>Cameras</t>
  </si>
  <si>
    <t>Min RAM</t>
  </si>
  <si>
    <t>Min Storage</t>
  </si>
  <si>
    <t>GPU Required</t>
  </si>
  <si>
    <t>1–4</t>
  </si>
  <si>
    <t>4 GB</t>
  </si>
  <si>
    <t>32 GB SSD</t>
  </si>
  <si>
    <t>No</t>
  </si>
  <si>
    <t>CPU inference, 1 job at a time</t>
  </si>
  <si>
    <t>4–8</t>
  </si>
  <si>
    <t>8 GB</t>
  </si>
  <si>
    <t>64 GB SSD</t>
  </si>
  <si>
    <t>Optional</t>
  </si>
  <si>
    <t>CPU concurrent jobs or GPU inference</t>
  </si>
  <si>
    <t>8–16</t>
  </si>
  <si>
    <t>16 GB</t>
  </si>
  <si>
    <t>128 GB SSD</t>
  </si>
  <si>
    <t>Recommended</t>
  </si>
  <si>
    <t>GPU required for real-time multi-stream</t>
  </si>
  <si>
    <t>16+</t>
  </si>
  <si>
    <t>32 GB</t>
  </si>
  <si>
    <t>256 GB SSD</t>
  </si>
  <si>
    <t>Required</t>
  </si>
  <si>
    <t>Dedicated GPU server</t>
  </si>
  <si>
    <t>SOCA Platform — Deployment Summary</t>
  </si>
  <si>
    <t>Executive cost summary — all figures derived from Inputs sheet</t>
  </si>
  <si>
    <t xml:space="preserve">  DEPLOYMENT CONFIGURATION</t>
  </si>
  <si>
    <t>Edge Devices</t>
  </si>
  <si>
    <t>Alerts / Month</t>
  </si>
  <si>
    <t>alerts</t>
  </si>
  <si>
    <t xml:space="preserve">  MONTHLY CLOUD COST SUMMARY</t>
  </si>
  <si>
    <t>Service</t>
  </si>
  <si>
    <t>% of Total</t>
  </si>
  <si>
    <t>Google Cloud Pub/Sub</t>
  </si>
  <si>
    <t>Google Cloud Storage (GCS)</t>
  </si>
  <si>
    <t>Cloud Infrastructure</t>
  </si>
  <si>
    <t>TOTAL MONTHLY COST</t>
  </si>
  <si>
    <t xml:space="preserve">  UNIT ECONOMICS</t>
  </si>
  <si>
    <t>Cloud Cost per Camera / Month</t>
  </si>
  <si>
    <t>per camera</t>
  </si>
  <si>
    <t>monthly cloud cost ÷ total cameras</t>
  </si>
  <si>
    <t>Cloud Cost per Edge / Month</t>
  </si>
  <si>
    <t>per edge</t>
  </si>
  <si>
    <t>monthly cloud cost ÷ edge devices</t>
  </si>
  <si>
    <t>Cloud Cost per Alert</t>
  </si>
  <si>
    <t>monthly cloud cost ÷ total alerts/month</t>
  </si>
  <si>
    <t>GCS Storage per Camera (GB)</t>
  </si>
  <si>
    <t>GB/camera</t>
  </si>
  <si>
    <t>total GCS storage ÷ total cameras</t>
  </si>
  <si>
    <t>Pub/Sub Volume per Camera (MB)</t>
  </si>
  <si>
    <t>MB/camera</t>
  </si>
  <si>
    <t>monthly Pub/Sub volume ÷ total cameras</t>
  </si>
  <si>
    <t xml:space="preserve">  SCALING TIERS REFERENCE</t>
  </si>
  <si>
    <t>Tier</t>
  </si>
  <si>
    <t>Est. Monthly Cost</t>
  </si>
  <si>
    <t>Recommended Infra</t>
  </si>
  <si>
    <t>Small</t>
  </si>
  <si>
    <t>1–5</t>
  </si>
  <si>
    <t>4–20</t>
  </si>
  <si>
    <t>$5–15</t>
  </si>
  <si>
    <t>e2-micro + e2-micro</t>
  </si>
  <si>
    <t>Medium</t>
  </si>
  <si>
    <t>5–20</t>
  </si>
  <si>
    <t>20–80</t>
  </si>
  <si>
    <t>$15–50</t>
  </si>
  <si>
    <t>e2-small + e2-micro</t>
  </si>
  <si>
    <t>Large</t>
  </si>
  <si>
    <t>20–100</t>
  </si>
  <si>
    <t>80–400</t>
  </si>
  <si>
    <t>$50–200</t>
  </si>
  <si>
    <t>e2-medium + e2-small</t>
  </si>
  <si>
    <t>Enterprise</t>
  </si>
  <si>
    <t>100+</t>
  </si>
  <si>
    <t>400+</t>
  </si>
  <si>
    <t>$200+</t>
  </si>
  <si>
    <t>e2-standard-2 + e2-small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</si>
</sst>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#,##0.000\ &quot;GB&quot;"/>
    <numFmt numFmtId="166" formatCode="0.0%"/>
    <numFmt numFmtId="167" formatCode="&quot;$&quot;#,##0.0000"/>
    <numFmt numFmtId="168" formatCode="#,##0.00\ &quot;MB&quot;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555555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A237E"/>
      <name val="Calibri"/>
      <family val="2"/>
    </font>
    <font>
      <i/>
      <sz val="9"/>
      <color rgb="FF757575"/>
      <name val="Calibri"/>
      <family val="2"/>
    </font>
    <font>
      <sz val="10"/>
      <color rgb="FF333333"/>
      <name val="Calibri"/>
      <family val="2"/>
    </font>
    <font>
      <b/>
      <sz val="13"/>
      <color rgb="FFFFFFFF"/>
      <name val="Calibri"/>
      <family val="2"/>
    </font>
    <font>
      <i/>
      <sz val="9"/>
      <color rgb="FF777777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i/>
      <sz val="9"/>
      <color rgb="FF555555"/>
      <name val="Calibri"/>
      <family val="2"/>
    </font>
    <font>
      <i/>
      <sz val="10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37474F"/>
      </patternFill>
    </fill>
    <fill>
      <patternFill patternType="solid">
        <fgColor rgb="FFEBF3FB"/>
      </patternFill>
    </fill>
    <fill>
      <patternFill patternType="solid">
        <fgColor rgb="FFF0F0F0"/>
      </patternFill>
    </fill>
    <fill>
      <patternFill patternType="solid">
        <fgColor rgb="FFFFF2CC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7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164" fontId="14" fillId="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pane xSplit="1" ySplit="5" topLeftCell="B6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3" customWidth="1"/>
    <col min="2" max="2" width="38" customWidth="1"/>
    <col min="3" max="3" width="18" customWidth="1"/>
    <col min="4" max="4" width="22" customWidth="1"/>
    <col min="5" max="5" width="38" customWidth="1"/>
  </cols>
  <sheetData>
    <row r="1" spans="1:5" ht="30" customHeight="1" x14ac:dyDescent="0.2">
      <c r="A1" s="27" t="s">
        <v>0</v>
      </c>
      <c r="B1" s="25"/>
      <c r="C1" s="25"/>
      <c r="D1" s="25"/>
      <c r="E1" s="25"/>
    </row>
    <row r="2" spans="1:5" ht="18" customHeight="1" x14ac:dyDescent="0.2">
      <c r="A2" s="26" t="s">
        <v>1</v>
      </c>
      <c r="B2" s="25"/>
      <c r="C2" s="25"/>
      <c r="D2" s="25"/>
      <c r="E2" s="25"/>
    </row>
    <row r="4" spans="1:5" ht="20" customHeight="1" x14ac:dyDescent="0.2">
      <c r="A4" s="24" t="s">
        <v>2</v>
      </c>
      <c r="B4" s="25"/>
      <c r="C4" s="25"/>
      <c r="D4" s="25"/>
      <c r="E4" s="25"/>
    </row>
    <row r="5" spans="1:5" ht="18" customHeight="1" x14ac:dyDescent="0.2">
      <c r="B5" s="1" t="s">
        <v>3</v>
      </c>
      <c r="C5" s="1" t="s">
        <v>4</v>
      </c>
      <c r="D5" s="1" t="s">
        <v>5</v>
      </c>
      <c r="E5" s="1" t="s">
        <v>6</v>
      </c>
    </row>
    <row r="6" spans="1:5" x14ac:dyDescent="0.2">
      <c r="B6" s="2" t="s">
        <v>7</v>
      </c>
      <c r="C6" s="3">
        <v>5</v>
      </c>
      <c r="D6" s="2" t="s">
        <v>8</v>
      </c>
      <c r="E6" s="4" t="s">
        <v>9</v>
      </c>
    </row>
    <row r="7" spans="1:5" x14ac:dyDescent="0.2">
      <c r="B7" s="2" t="s">
        <v>10</v>
      </c>
      <c r="C7" s="3">
        <v>4</v>
      </c>
      <c r="D7" s="2" t="s">
        <v>11</v>
      </c>
      <c r="E7" s="4" t="s">
        <v>12</v>
      </c>
    </row>
    <row r="8" spans="1:5" x14ac:dyDescent="0.2">
      <c r="B8" s="2" t="s">
        <v>13</v>
      </c>
      <c r="C8" s="5">
        <f>C6*C7</f>
        <v>20</v>
      </c>
      <c r="D8" s="2" t="s">
        <v>11</v>
      </c>
      <c r="E8" s="4" t="e">
        <f>C6*C7 — auto calculated</f>
        <v>#NAME?</v>
      </c>
    </row>
    <row r="9" spans="1:5" x14ac:dyDescent="0.2">
      <c r="B9" s="2" t="s">
        <v>14</v>
      </c>
      <c r="C9" s="3">
        <v>6</v>
      </c>
      <c r="D9" s="2" t="s">
        <v>15</v>
      </c>
      <c r="E9" s="4" t="s">
        <v>16</v>
      </c>
    </row>
    <row r="10" spans="1:5" x14ac:dyDescent="0.2">
      <c r="B10" s="2" t="s">
        <v>17</v>
      </c>
      <c r="C10" s="3">
        <v>18</v>
      </c>
      <c r="D10" s="2" t="s">
        <v>18</v>
      </c>
      <c r="E10" s="4" t="s">
        <v>19</v>
      </c>
    </row>
    <row r="11" spans="1:5" x14ac:dyDescent="0.2">
      <c r="B11" s="2" t="s">
        <v>20</v>
      </c>
      <c r="C11" s="3">
        <v>150</v>
      </c>
      <c r="D11" s="2" t="s">
        <v>21</v>
      </c>
      <c r="E11" s="4" t="s">
        <v>22</v>
      </c>
    </row>
    <row r="12" spans="1:5" x14ac:dyDescent="0.2">
      <c r="B12" s="2" t="s">
        <v>23</v>
      </c>
      <c r="C12" s="3">
        <v>1</v>
      </c>
      <c r="D12" s="2" t="s">
        <v>24</v>
      </c>
      <c r="E12" s="4" t="s">
        <v>25</v>
      </c>
    </row>
    <row r="14" spans="1:5" ht="20" customHeight="1" x14ac:dyDescent="0.2">
      <c r="A14" s="24" t="s">
        <v>26</v>
      </c>
      <c r="B14" s="25"/>
      <c r="C14" s="25"/>
      <c r="D14" s="25"/>
      <c r="E14" s="25"/>
    </row>
    <row r="15" spans="1:5" x14ac:dyDescent="0.2">
      <c r="B15" s="2" t="s">
        <v>27</v>
      </c>
      <c r="C15" s="6" t="s">
        <v>28</v>
      </c>
      <c r="D15" s="2"/>
      <c r="E15" s="4" t="s">
        <v>29</v>
      </c>
    </row>
    <row r="16" spans="1:5" x14ac:dyDescent="0.2">
      <c r="B16" s="2" t="s">
        <v>30</v>
      </c>
      <c r="C16" s="6">
        <v>2</v>
      </c>
      <c r="D16" s="2" t="s">
        <v>31</v>
      </c>
      <c r="E16" s="4" t="s">
        <v>32</v>
      </c>
    </row>
    <row r="18" spans="1:5" ht="20" customHeight="1" x14ac:dyDescent="0.2">
      <c r="A18" s="24" t="s">
        <v>33</v>
      </c>
      <c r="B18" s="25"/>
      <c r="C18" s="25"/>
      <c r="D18" s="25"/>
      <c r="E18" s="25"/>
    </row>
    <row r="19" spans="1:5" x14ac:dyDescent="0.2">
      <c r="B19" s="2" t="s">
        <v>34</v>
      </c>
      <c r="C19" s="3">
        <v>30</v>
      </c>
      <c r="D19" s="2" t="s">
        <v>35</v>
      </c>
      <c r="E19" s="4" t="s">
        <v>36</v>
      </c>
    </row>
    <row r="20" spans="1:5" x14ac:dyDescent="0.2">
      <c r="B20" s="2" t="s">
        <v>37</v>
      </c>
      <c r="C20" s="3">
        <v>90</v>
      </c>
      <c r="D20" s="2" t="s">
        <v>35</v>
      </c>
      <c r="E20" s="4" t="s">
        <v>38</v>
      </c>
    </row>
    <row r="21" spans="1:5" x14ac:dyDescent="0.2">
      <c r="B21" s="2" t="s">
        <v>39</v>
      </c>
      <c r="C21" s="7">
        <v>1.5</v>
      </c>
      <c r="D21" s="2" t="s">
        <v>21</v>
      </c>
      <c r="E21" s="4" t="s">
        <v>40</v>
      </c>
    </row>
    <row r="22" spans="1:5" x14ac:dyDescent="0.2">
      <c r="B22" s="2" t="s">
        <v>41</v>
      </c>
      <c r="C22" s="3">
        <v>600</v>
      </c>
      <c r="D22" s="2" t="s">
        <v>42</v>
      </c>
      <c r="E22" s="4" t="s">
        <v>43</v>
      </c>
    </row>
    <row r="24" spans="1:5" ht="20" customHeight="1" x14ac:dyDescent="0.2">
      <c r="A24" s="24" t="s">
        <v>44</v>
      </c>
      <c r="B24" s="25"/>
      <c r="C24" s="25"/>
      <c r="D24" s="25"/>
      <c r="E24" s="25"/>
    </row>
    <row r="25" spans="1:5" x14ac:dyDescent="0.2">
      <c r="B25" s="2" t="s">
        <v>45</v>
      </c>
      <c r="C25" s="8">
        <v>0.04</v>
      </c>
      <c r="D25" s="2" t="s">
        <v>46</v>
      </c>
      <c r="E25" s="4" t="s">
        <v>47</v>
      </c>
    </row>
    <row r="26" spans="1:5" x14ac:dyDescent="0.2">
      <c r="B26" s="2" t="s">
        <v>48</v>
      </c>
      <c r="C26" s="7">
        <v>10</v>
      </c>
      <c r="D26" s="2" t="s">
        <v>49</v>
      </c>
      <c r="E26" s="4" t="s">
        <v>50</v>
      </c>
    </row>
    <row r="27" spans="1:5" x14ac:dyDescent="0.2">
      <c r="B27" s="2" t="s">
        <v>51</v>
      </c>
      <c r="C27" s="8">
        <v>0.02</v>
      </c>
      <c r="D27" s="2" t="s">
        <v>52</v>
      </c>
      <c r="E27" s="4" t="s">
        <v>53</v>
      </c>
    </row>
    <row r="28" spans="1:5" x14ac:dyDescent="0.2">
      <c r="B28" s="2" t="s">
        <v>54</v>
      </c>
      <c r="C28" s="8">
        <v>0.01</v>
      </c>
      <c r="D28" s="2" t="s">
        <v>52</v>
      </c>
      <c r="E28" s="4" t="s">
        <v>55</v>
      </c>
    </row>
    <row r="29" spans="1:5" x14ac:dyDescent="0.2">
      <c r="B29" s="2" t="s">
        <v>56</v>
      </c>
      <c r="C29" s="8">
        <v>0.05</v>
      </c>
      <c r="D29" s="2" t="s">
        <v>57</v>
      </c>
      <c r="E29" s="4" t="s">
        <v>58</v>
      </c>
    </row>
    <row r="30" spans="1:5" x14ac:dyDescent="0.2">
      <c r="B30" s="2" t="s">
        <v>59</v>
      </c>
      <c r="C30" s="8">
        <v>4.0000000000000001E-3</v>
      </c>
      <c r="D30" s="2" t="s">
        <v>57</v>
      </c>
      <c r="E30" s="4" t="s">
        <v>60</v>
      </c>
    </row>
    <row r="31" spans="1:5" x14ac:dyDescent="0.2">
      <c r="B31" s="2" t="s">
        <v>61</v>
      </c>
      <c r="C31" s="8">
        <v>0.08</v>
      </c>
      <c r="D31" s="2" t="s">
        <v>46</v>
      </c>
      <c r="E31" s="4" t="s">
        <v>62</v>
      </c>
    </row>
    <row r="32" spans="1:5" x14ac:dyDescent="0.2">
      <c r="B32" s="2" t="s">
        <v>63</v>
      </c>
      <c r="C32" s="8">
        <v>2.4000000000000001E-5</v>
      </c>
      <c r="D32" s="2" t="s">
        <v>64</v>
      </c>
      <c r="E32" s="4" t="s">
        <v>65</v>
      </c>
    </row>
    <row r="33" spans="2:5" x14ac:dyDescent="0.2">
      <c r="B33" s="2" t="s">
        <v>66</v>
      </c>
      <c r="C33" s="8">
        <v>2.5000000000000002E-6</v>
      </c>
      <c r="D33" s="2" t="s">
        <v>67</v>
      </c>
      <c r="E33" s="4" t="s">
        <v>65</v>
      </c>
    </row>
    <row r="34" spans="2:5" x14ac:dyDescent="0.2">
      <c r="B34" s="2" t="s">
        <v>68</v>
      </c>
      <c r="C34" s="8">
        <v>0.4</v>
      </c>
      <c r="D34" s="2" t="s">
        <v>69</v>
      </c>
      <c r="E34" s="4" t="s">
        <v>70</v>
      </c>
    </row>
    <row r="35" spans="2:5" x14ac:dyDescent="0.2">
      <c r="B35" s="2" t="s">
        <v>71</v>
      </c>
      <c r="C35" s="8">
        <v>5.48</v>
      </c>
      <c r="D35" s="2" t="s">
        <v>72</v>
      </c>
      <c r="E35" s="4" t="s">
        <v>73</v>
      </c>
    </row>
    <row r="36" spans="2:5" x14ac:dyDescent="0.2">
      <c r="B36" s="2" t="s">
        <v>74</v>
      </c>
      <c r="C36" s="8">
        <v>10.96</v>
      </c>
      <c r="D36" s="2" t="s">
        <v>72</v>
      </c>
      <c r="E36" s="4" t="s">
        <v>75</v>
      </c>
    </row>
    <row r="37" spans="2:5" x14ac:dyDescent="0.2">
      <c r="B37" s="2" t="s">
        <v>76</v>
      </c>
      <c r="C37" s="8">
        <v>21.92</v>
      </c>
      <c r="D37" s="2" t="s">
        <v>72</v>
      </c>
      <c r="E37" s="4" t="s">
        <v>77</v>
      </c>
    </row>
    <row r="38" spans="2:5" x14ac:dyDescent="0.2">
      <c r="B38" s="2" t="s">
        <v>78</v>
      </c>
      <c r="C38" s="8">
        <v>48.92</v>
      </c>
      <c r="D38" s="2" t="s">
        <v>72</v>
      </c>
      <c r="E38" s="4" t="s">
        <v>79</v>
      </c>
    </row>
  </sheetData>
  <mergeCells count="6">
    <mergeCell ref="A4:E4"/>
    <mergeCell ref="A24:E24"/>
    <mergeCell ref="A2:E2"/>
    <mergeCell ref="A1:E1"/>
    <mergeCell ref="A14:E14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4" topLeftCell="B5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3" customWidth="1"/>
    <col min="2" max="2" width="40" customWidth="1"/>
    <col min="3" max="3" width="20" customWidth="1"/>
    <col min="4" max="4" width="15" customWidth="1"/>
    <col min="5" max="5" width="35" customWidth="1"/>
  </cols>
  <sheetData>
    <row r="1" spans="1:5" ht="28" customHeight="1" x14ac:dyDescent="0.2">
      <c r="A1" s="29" t="s">
        <v>80</v>
      </c>
      <c r="B1" s="25"/>
      <c r="C1" s="25"/>
      <c r="D1" s="25"/>
      <c r="E1" s="25"/>
    </row>
    <row r="2" spans="1:5" x14ac:dyDescent="0.2">
      <c r="A2" s="28" t="s">
        <v>81</v>
      </c>
      <c r="B2" s="25"/>
      <c r="C2" s="25"/>
      <c r="D2" s="25"/>
      <c r="E2" s="25"/>
    </row>
    <row r="4" spans="1:5" ht="18" customHeight="1" x14ac:dyDescent="0.2">
      <c r="A4" s="24" t="s">
        <v>82</v>
      </c>
      <c r="B4" s="25"/>
      <c r="C4" s="25"/>
      <c r="D4" s="25"/>
      <c r="E4" s="25"/>
    </row>
    <row r="5" spans="1:5" x14ac:dyDescent="0.2">
      <c r="B5" s="2" t="s">
        <v>83</v>
      </c>
      <c r="C5" s="5">
        <f>'📥 Inputs'!C6</f>
        <v>5</v>
      </c>
      <c r="D5" s="2" t="s">
        <v>8</v>
      </c>
      <c r="E5" s="4"/>
    </row>
    <row r="6" spans="1:5" x14ac:dyDescent="0.2">
      <c r="B6" s="2" t="s">
        <v>84</v>
      </c>
      <c r="C6" s="5">
        <f>'📥 Inputs'!C7</f>
        <v>4</v>
      </c>
      <c r="D6" s="2" t="s">
        <v>11</v>
      </c>
      <c r="E6" s="4"/>
    </row>
    <row r="7" spans="1:5" x14ac:dyDescent="0.2">
      <c r="B7" s="2" t="s">
        <v>13</v>
      </c>
      <c r="C7" s="5">
        <f>C5*C6</f>
        <v>20</v>
      </c>
      <c r="D7" s="2" t="s">
        <v>11</v>
      </c>
      <c r="E7" s="4"/>
    </row>
    <row r="8" spans="1:5" x14ac:dyDescent="0.2">
      <c r="B8" s="2" t="s">
        <v>85</v>
      </c>
      <c r="C8" s="5">
        <f>'📥 Inputs'!C9</f>
        <v>6</v>
      </c>
      <c r="D8" s="2" t="s">
        <v>86</v>
      </c>
      <c r="E8" s="4"/>
    </row>
    <row r="9" spans="1:5" x14ac:dyDescent="0.2">
      <c r="B9" s="2" t="s">
        <v>87</v>
      </c>
      <c r="C9" s="5">
        <f>'📥 Inputs'!C10</f>
        <v>18</v>
      </c>
      <c r="D9" s="2" t="s">
        <v>88</v>
      </c>
      <c r="E9" s="4"/>
    </row>
    <row r="10" spans="1:5" x14ac:dyDescent="0.2">
      <c r="B10" s="2" t="s">
        <v>89</v>
      </c>
      <c r="C10" s="5">
        <f>C8*C9</f>
        <v>108</v>
      </c>
      <c r="D10" s="2" t="s">
        <v>90</v>
      </c>
      <c r="E10" s="4"/>
    </row>
    <row r="11" spans="1:5" x14ac:dyDescent="0.2">
      <c r="B11" s="2" t="s">
        <v>91</v>
      </c>
      <c r="C11" s="5">
        <f>C10*C6</f>
        <v>432</v>
      </c>
      <c r="D11" s="2" t="s">
        <v>90</v>
      </c>
      <c r="E11" s="4" t="s">
        <v>92</v>
      </c>
    </row>
    <row r="12" spans="1:5" x14ac:dyDescent="0.2">
      <c r="B12" s="2" t="s">
        <v>93</v>
      </c>
      <c r="C12" s="5">
        <f>C11*C5</f>
        <v>2160</v>
      </c>
      <c r="D12" s="2" t="s">
        <v>90</v>
      </c>
      <c r="E12" s="4" t="s">
        <v>94</v>
      </c>
    </row>
    <row r="13" spans="1:5" x14ac:dyDescent="0.2">
      <c r="B13" s="2" t="s">
        <v>95</v>
      </c>
      <c r="C13" s="5">
        <f>C12*'📥 Inputs'!C19</f>
        <v>64800</v>
      </c>
      <c r="D13" s="2" t="s">
        <v>96</v>
      </c>
      <c r="E13" s="4"/>
    </row>
    <row r="14" spans="1:5" x14ac:dyDescent="0.2">
      <c r="B14" s="2" t="s">
        <v>97</v>
      </c>
      <c r="C14" s="5">
        <f>C13*12</f>
        <v>777600</v>
      </c>
      <c r="D14" s="2" t="s">
        <v>98</v>
      </c>
      <c r="E14" s="4"/>
    </row>
    <row r="16" spans="1:5" ht="18" customHeight="1" x14ac:dyDescent="0.2">
      <c r="A16" s="24" t="s">
        <v>99</v>
      </c>
      <c r="B16" s="25"/>
      <c r="C16" s="25"/>
      <c r="D16" s="25"/>
      <c r="E16" s="25"/>
    </row>
    <row r="17" spans="1:5" x14ac:dyDescent="0.2">
      <c r="B17" s="2" t="s">
        <v>100</v>
      </c>
      <c r="C17" s="5">
        <f>'📥 Inputs'!C21</f>
        <v>1.5</v>
      </c>
      <c r="D17" s="2" t="s">
        <v>21</v>
      </c>
      <c r="E17" s="4" t="s">
        <v>101</v>
      </c>
    </row>
    <row r="18" spans="1:5" x14ac:dyDescent="0.2">
      <c r="B18" s="2" t="s">
        <v>102</v>
      </c>
      <c r="C18" s="5">
        <f>C13</f>
        <v>64800</v>
      </c>
      <c r="D18" s="2" t="s">
        <v>103</v>
      </c>
      <c r="E18" s="4" t="s">
        <v>104</v>
      </c>
    </row>
    <row r="19" spans="1:5" x14ac:dyDescent="0.2">
      <c r="B19" s="2" t="s">
        <v>105</v>
      </c>
      <c r="C19" s="5">
        <f>C18*C17</f>
        <v>97200</v>
      </c>
      <c r="D19" s="2" t="s">
        <v>106</v>
      </c>
      <c r="E19" s="4"/>
    </row>
    <row r="20" spans="1:5" x14ac:dyDescent="0.2">
      <c r="B20" s="2" t="s">
        <v>107</v>
      </c>
      <c r="C20" s="9">
        <f>C19/1024/1024</f>
        <v>9.26971435546875E-2</v>
      </c>
      <c r="D20" s="2" t="s">
        <v>49</v>
      </c>
      <c r="E20" s="4"/>
    </row>
    <row r="21" spans="1:5" x14ac:dyDescent="0.2">
      <c r="B21" s="2" t="s">
        <v>108</v>
      </c>
      <c r="C21" s="9">
        <f>MAX(0,C20-'📥 Inputs'!C26)</f>
        <v>0</v>
      </c>
      <c r="D21" s="2" t="s">
        <v>49</v>
      </c>
      <c r="E21" s="4" t="s">
        <v>109</v>
      </c>
    </row>
    <row r="23" spans="1:5" ht="18" customHeight="1" x14ac:dyDescent="0.2">
      <c r="A23" s="24" t="s">
        <v>110</v>
      </c>
      <c r="B23" s="25"/>
      <c r="C23" s="25"/>
      <c r="D23" s="25"/>
      <c r="E23" s="25"/>
    </row>
    <row r="24" spans="1:5" x14ac:dyDescent="0.2">
      <c r="B24" s="2" t="s">
        <v>111</v>
      </c>
      <c r="C24" s="5">
        <f>'📥 Inputs'!C11</f>
        <v>150</v>
      </c>
      <c r="D24" s="2" t="s">
        <v>21</v>
      </c>
      <c r="E24" s="4" t="s">
        <v>112</v>
      </c>
    </row>
    <row r="25" spans="1:5" x14ac:dyDescent="0.2">
      <c r="B25" s="2" t="s">
        <v>113</v>
      </c>
      <c r="C25" s="5">
        <f>'📥 Inputs'!C20</f>
        <v>90</v>
      </c>
      <c r="D25" s="2" t="s">
        <v>35</v>
      </c>
      <c r="E25" s="4"/>
    </row>
    <row r="26" spans="1:5" x14ac:dyDescent="0.2">
      <c r="B26" s="2" t="s">
        <v>114</v>
      </c>
      <c r="C26" s="5">
        <f>C13*(C25/'📥 Inputs'!C19)</f>
        <v>194400</v>
      </c>
      <c r="D26" s="2" t="s">
        <v>115</v>
      </c>
      <c r="E26" s="4" t="s">
        <v>116</v>
      </c>
    </row>
    <row r="27" spans="1:5" x14ac:dyDescent="0.2">
      <c r="B27" s="2" t="s">
        <v>117</v>
      </c>
      <c r="C27" s="9" t="str">
        <f ca="1">C27*C24/1024/1024</f>
        <v/>
      </c>
      <c r="D27" s="2" t="s">
        <v>118</v>
      </c>
      <c r="E27" s="4" t="s">
        <v>119</v>
      </c>
    </row>
    <row r="28" spans="1:5" x14ac:dyDescent="0.2">
      <c r="B28" s="2" t="s">
        <v>120</v>
      </c>
      <c r="C28" s="5">
        <f>C13</f>
        <v>64800</v>
      </c>
      <c r="D28" s="2" t="s">
        <v>121</v>
      </c>
      <c r="E28" s="4" t="s">
        <v>122</v>
      </c>
    </row>
    <row r="29" spans="1:5" x14ac:dyDescent="0.2">
      <c r="B29" s="2" t="s">
        <v>123</v>
      </c>
      <c r="C29" s="5">
        <f>C13*0.3</f>
        <v>19440</v>
      </c>
      <c r="D29" s="2" t="s">
        <v>121</v>
      </c>
      <c r="E29" s="4" t="s">
        <v>124</v>
      </c>
    </row>
    <row r="31" spans="1:5" ht="18" customHeight="1" x14ac:dyDescent="0.2">
      <c r="A31" s="24" t="s">
        <v>125</v>
      </c>
      <c r="B31" s="25"/>
      <c r="C31" s="25"/>
      <c r="D31" s="25"/>
      <c r="E31" s="25"/>
    </row>
    <row r="32" spans="1:5" x14ac:dyDescent="0.2">
      <c r="B32" s="2" t="s">
        <v>126</v>
      </c>
      <c r="C32" s="5">
        <f>C13*'📥 Inputs'!C16</f>
        <v>129600</v>
      </c>
      <c r="D32" s="2" t="s">
        <v>127</v>
      </c>
      <c r="E32" s="4" t="s">
        <v>128</v>
      </c>
    </row>
    <row r="33" spans="2:5" x14ac:dyDescent="0.2">
      <c r="B33" s="2" t="s">
        <v>129</v>
      </c>
      <c r="C33" s="5">
        <f>C5*(60/'📥 Inputs'!C19)*1440*2</f>
        <v>28800</v>
      </c>
      <c r="D33" s="2" t="s">
        <v>127</v>
      </c>
      <c r="E33" s="4" t="s">
        <v>130</v>
      </c>
    </row>
    <row r="34" spans="2:5" x14ac:dyDescent="0.2">
      <c r="B34" s="2" t="s">
        <v>131</v>
      </c>
      <c r="C34" s="5">
        <f>C5*1440*'📥 Inputs'!C19*2</f>
        <v>432000</v>
      </c>
      <c r="D34" s="2" t="s">
        <v>127</v>
      </c>
      <c r="E34" s="4" t="s">
        <v>132</v>
      </c>
    </row>
    <row r="35" spans="2:5" x14ac:dyDescent="0.2">
      <c r="B35" s="2" t="s">
        <v>133</v>
      </c>
      <c r="C35" s="5">
        <f>SUM(C32:C34)</f>
        <v>590400</v>
      </c>
      <c r="D35" s="2" t="s">
        <v>127</v>
      </c>
      <c r="E35" s="4"/>
    </row>
  </sheetData>
  <mergeCells count="6">
    <mergeCell ref="A31:E31"/>
    <mergeCell ref="A4:E4"/>
    <mergeCell ref="A2:E2"/>
    <mergeCell ref="A16:E16"/>
    <mergeCell ref="A1:E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241" zoomScaleNormal="241" workbookViewId="0">
      <pane xSplit="1" ySplit="3" topLeftCell="B17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" customWidth="1"/>
    <col min="2" max="2" width="38" customWidth="1"/>
    <col min="3" max="5" width="20" customWidth="1"/>
    <col min="6" max="6" width="30" customWidth="1"/>
  </cols>
  <sheetData>
    <row r="1" spans="1:7" ht="28" customHeight="1" x14ac:dyDescent="0.2">
      <c r="A1" s="29" t="s">
        <v>134</v>
      </c>
      <c r="B1" s="25"/>
      <c r="C1" s="25"/>
      <c r="D1" s="25"/>
      <c r="E1" s="25"/>
      <c r="F1" s="25"/>
    </row>
    <row r="3" spans="1:7" ht="18" customHeight="1" x14ac:dyDescent="0.2"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6</v>
      </c>
    </row>
    <row r="4" spans="1:7" ht="18" customHeight="1" x14ac:dyDescent="0.2">
      <c r="A4" s="24" t="s">
        <v>140</v>
      </c>
      <c r="B4" s="25"/>
      <c r="C4" s="25"/>
      <c r="D4" s="25"/>
      <c r="E4" s="25"/>
      <c r="F4" s="25"/>
    </row>
    <row r="5" spans="1:7" ht="39" x14ac:dyDescent="0.2">
      <c r="B5" s="2" t="s">
        <v>141</v>
      </c>
      <c r="C5" s="10">
        <f>'📊 Usage &amp; Capacity'!C21</f>
        <v>0</v>
      </c>
      <c r="D5" s="11">
        <f>'📥 Inputs'!C25</f>
        <v>0.04</v>
      </c>
      <c r="E5" s="11">
        <f>'📊 Usage &amp; Capacity'!C21*'📥 Inputs'!C25</f>
        <v>0</v>
      </c>
      <c r="F5" s="11">
        <f>E5*12</f>
        <v>0</v>
      </c>
      <c r="G5" s="4" t="s">
        <v>142</v>
      </c>
    </row>
    <row r="6" spans="1:7" ht="39" x14ac:dyDescent="0.2">
      <c r="B6" s="2" t="s">
        <v>143</v>
      </c>
      <c r="C6" s="10" t="s">
        <v>144</v>
      </c>
      <c r="D6" s="11" t="s">
        <v>145</v>
      </c>
      <c r="E6" s="11">
        <f>MIN(0, -'📊 Usage &amp; Capacity'!C20*'📥 Inputs'!C25)</f>
        <v>-3.7078857421875E-3</v>
      </c>
      <c r="F6" s="11">
        <f>E6*12</f>
        <v>-4.449462890625E-2</v>
      </c>
      <c r="G6" s="4" t="s">
        <v>146</v>
      </c>
    </row>
    <row r="7" spans="1:7" x14ac:dyDescent="0.2">
      <c r="B7" s="30" t="s">
        <v>147</v>
      </c>
      <c r="C7" s="25"/>
      <c r="D7" s="25"/>
      <c r="E7" s="12">
        <f>E5+E6</f>
        <v>-3.7078857421875E-3</v>
      </c>
      <c r="F7" s="12">
        <f>F5+F6</f>
        <v>-4.449462890625E-2</v>
      </c>
    </row>
    <row r="9" spans="1:7" ht="18" customHeight="1" x14ac:dyDescent="0.2">
      <c r="A9" s="24" t="s">
        <v>148</v>
      </c>
      <c r="B9" s="25"/>
      <c r="C9" s="25"/>
      <c r="D9" s="25"/>
      <c r="E9" s="25"/>
      <c r="F9" s="25"/>
    </row>
    <row r="10" spans="1:7" ht="39" x14ac:dyDescent="0.2">
      <c r="B10" s="2" t="s">
        <v>149</v>
      </c>
      <c r="C10" s="10" t="str">
        <f ca="1">'📊 Usage &amp; Capacity'!C27</f>
        <v/>
      </c>
      <c r="D10" s="11">
        <f>'📥 Inputs'!C27</f>
        <v>0.02</v>
      </c>
      <c r="E10" s="11" t="str">
        <f ca="1">'📊 Usage &amp; Capacity'!C27*'📥 Inputs'!C27</f>
        <v/>
      </c>
      <c r="F10" s="11" t="str">
        <f ca="1">E10*12</f>
        <v/>
      </c>
      <c r="G10" s="4" t="s">
        <v>150</v>
      </c>
    </row>
    <row r="11" spans="1:7" ht="26" x14ac:dyDescent="0.2">
      <c r="B11" s="2" t="s">
        <v>151</v>
      </c>
      <c r="C11" s="10">
        <f>'📊 Usage &amp; Capacity'!C28/10000</f>
        <v>6.48</v>
      </c>
      <c r="D11" s="11">
        <f>'📥 Inputs'!C29</f>
        <v>0.05</v>
      </c>
      <c r="E11" s="11">
        <f>('📊 Usage &amp; Capacity'!C28/10000)*'📥 Inputs'!C29</f>
        <v>0.32400000000000007</v>
      </c>
      <c r="F11" s="11">
        <f>E11*12</f>
        <v>3.8880000000000008</v>
      </c>
      <c r="G11" s="4" t="s">
        <v>152</v>
      </c>
    </row>
    <row r="12" spans="1:7" ht="26" x14ac:dyDescent="0.2">
      <c r="B12" s="2" t="s">
        <v>153</v>
      </c>
      <c r="C12" s="10">
        <f>'📊 Usage &amp; Capacity'!C29/10000</f>
        <v>1.944</v>
      </c>
      <c r="D12" s="11">
        <f>'📥 Inputs'!C30</f>
        <v>4.0000000000000001E-3</v>
      </c>
      <c r="E12" s="11">
        <f>('📊 Usage &amp; Capacity'!C29/10000)*'📥 Inputs'!C30</f>
        <v>7.7759999999999999E-3</v>
      </c>
      <c r="F12" s="11">
        <f>E12*12</f>
        <v>9.3312000000000006E-2</v>
      </c>
      <c r="G12" s="4" t="s">
        <v>152</v>
      </c>
    </row>
    <row r="13" spans="1:7" ht="39" x14ac:dyDescent="0.2">
      <c r="B13" s="2" t="s">
        <v>154</v>
      </c>
      <c r="C13" s="10" t="str">
        <f ca="1">'📊 Usage &amp; Capacity'!C27*0.1</f>
        <v/>
      </c>
      <c r="D13" s="11">
        <f>'📥 Inputs'!C31</f>
        <v>0.08</v>
      </c>
      <c r="E13" s="11" t="str">
        <f ca="1">'📊 Usage &amp; Capacity'!C27*0.1*'📥 Inputs'!C31</f>
        <v/>
      </c>
      <c r="F13" s="11" t="str">
        <f ca="1">E13*12</f>
        <v/>
      </c>
      <c r="G13" s="4" t="s">
        <v>155</v>
      </c>
    </row>
    <row r="14" spans="1:7" x14ac:dyDescent="0.2">
      <c r="B14" s="30" t="s">
        <v>156</v>
      </c>
      <c r="C14" s="25"/>
      <c r="D14" s="25"/>
      <c r="E14" s="12" t="str">
        <f ca="1">SUM(E10:E13)</f>
        <v/>
      </c>
      <c r="F14" s="12" t="str">
        <f ca="1">SUM(F10:F13)</f>
        <v/>
      </c>
    </row>
    <row r="16" spans="1:7" ht="18" customHeight="1" x14ac:dyDescent="0.2">
      <c r="A16" s="24" t="s">
        <v>157</v>
      </c>
      <c r="B16" s="25"/>
      <c r="C16" s="25"/>
      <c r="D16" s="25"/>
      <c r="E16" s="25"/>
      <c r="F16" s="25"/>
    </row>
    <row r="17" spans="2:7" ht="52" x14ac:dyDescent="0.2">
      <c r="B17" s="2" t="s">
        <v>158</v>
      </c>
      <c r="C17" s="10" t="s">
        <v>159</v>
      </c>
      <c r="D17" s="11">
        <f>'🖥 Infrastructure'!C8</f>
        <v>0</v>
      </c>
      <c r="E17" s="11">
        <f>'🖥 Infrastructure'!C8</f>
        <v>0</v>
      </c>
      <c r="F17" s="11">
        <f>E17*12</f>
        <v>0</v>
      </c>
      <c r="G17" s="4" t="s">
        <v>160</v>
      </c>
    </row>
    <row r="18" spans="2:7" ht="52" x14ac:dyDescent="0.2">
      <c r="B18" s="2" t="s">
        <v>161</v>
      </c>
      <c r="C18" s="10" t="s">
        <v>159</v>
      </c>
      <c r="D18" s="11">
        <f>'🖥 Infrastructure'!C9</f>
        <v>0</v>
      </c>
      <c r="E18" s="11">
        <f>'🖥 Infrastructure'!C9</f>
        <v>0</v>
      </c>
      <c r="F18" s="11">
        <f>E18*12</f>
        <v>0</v>
      </c>
      <c r="G18" s="4" t="s">
        <v>160</v>
      </c>
    </row>
    <row r="19" spans="2:7" x14ac:dyDescent="0.2">
      <c r="B19" s="30" t="s">
        <v>162</v>
      </c>
      <c r="C19" s="25"/>
      <c r="D19" s="25"/>
      <c r="E19" s="12">
        <f>SUM(E17:E18)</f>
        <v>0</v>
      </c>
      <c r="F19" s="12">
        <f>SUM(F17:F18)</f>
        <v>0</v>
      </c>
    </row>
    <row r="21" spans="2:7" ht="24" customHeight="1" x14ac:dyDescent="0.2">
      <c r="B21" s="31" t="s">
        <v>163</v>
      </c>
      <c r="C21" s="25"/>
      <c r="D21" s="25"/>
      <c r="E21" s="13" t="str">
        <f ca="1">E7+E14+E19</f>
        <v/>
      </c>
      <c r="F21" s="13" t="str">
        <f ca="1">F7+F14+F19</f>
        <v/>
      </c>
    </row>
  </sheetData>
  <mergeCells count="8">
    <mergeCell ref="B21:D21"/>
    <mergeCell ref="A4:F4"/>
    <mergeCell ref="B7:D7"/>
    <mergeCell ref="A16:F16"/>
    <mergeCell ref="B19:D19"/>
    <mergeCell ref="B14:D14"/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="277" zoomScaleNormal="277" workbookViewId="0">
      <pane xSplit="1" ySplit="5" topLeftCell="B19" activePane="bottomRight" state="frozen"/>
      <selection pane="topRight"/>
      <selection pane="bottomLeft"/>
      <selection pane="bottomRight" activeCell="C12" sqref="C12"/>
    </sheetView>
  </sheetViews>
  <sheetFormatPr baseColWidth="10" defaultColWidth="8.83203125" defaultRowHeight="15" x14ac:dyDescent="0.2"/>
  <cols>
    <col min="1" max="1" width="3" customWidth="1"/>
    <col min="2" max="2" width="38" customWidth="1"/>
    <col min="3" max="4" width="20" customWidth="1"/>
    <col min="5" max="5" width="35" customWidth="1"/>
  </cols>
  <sheetData>
    <row r="1" spans="1:6" ht="28" customHeight="1" x14ac:dyDescent="0.2">
      <c r="A1" s="29" t="s">
        <v>164</v>
      </c>
      <c r="B1" s="25"/>
      <c r="C1" s="25"/>
      <c r="D1" s="25"/>
      <c r="E1" s="25"/>
    </row>
    <row r="2" spans="1:6" x14ac:dyDescent="0.2">
      <c r="A2" s="28" t="s">
        <v>165</v>
      </c>
      <c r="B2" s="25"/>
      <c r="C2" s="25"/>
      <c r="D2" s="25"/>
      <c r="E2" s="25"/>
    </row>
    <row r="4" spans="1:6" ht="18" customHeight="1" x14ac:dyDescent="0.2">
      <c r="A4" s="24" t="s">
        <v>166</v>
      </c>
      <c r="B4" s="25"/>
      <c r="C4" s="25"/>
      <c r="D4" s="25"/>
      <c r="E4" s="25"/>
    </row>
    <row r="5" spans="1:6" x14ac:dyDescent="0.2">
      <c r="B5" s="1" t="s">
        <v>167</v>
      </c>
      <c r="C5" s="1" t="s">
        <v>168</v>
      </c>
      <c r="D5" s="1" t="s">
        <v>138</v>
      </c>
      <c r="E5" s="1" t="s">
        <v>6</v>
      </c>
    </row>
    <row r="6" spans="1:6" x14ac:dyDescent="0.2">
      <c r="B6" s="2" t="s">
        <v>169</v>
      </c>
      <c r="C6" s="6" t="s">
        <v>170</v>
      </c>
      <c r="D6" s="11">
        <f>'📥 Inputs'!C36</f>
        <v>10.96</v>
      </c>
      <c r="E6" s="4" t="s">
        <v>171</v>
      </c>
    </row>
    <row r="7" spans="1:6" x14ac:dyDescent="0.2">
      <c r="B7" s="2" t="s">
        <v>172</v>
      </c>
      <c r="C7" s="6" t="s">
        <v>173</v>
      </c>
      <c r="D7" s="11">
        <f>'📥 Inputs'!C35</f>
        <v>5.48</v>
      </c>
      <c r="E7" s="4" t="s">
        <v>174</v>
      </c>
    </row>
    <row r="9" spans="1:6" ht="18" customHeight="1" x14ac:dyDescent="0.2">
      <c r="A9" s="24" t="s">
        <v>175</v>
      </c>
      <c r="B9" s="25"/>
      <c r="C9" s="25"/>
      <c r="D9" s="25"/>
      <c r="E9" s="25"/>
    </row>
    <row r="10" spans="1:6" x14ac:dyDescent="0.2">
      <c r="B10" s="1" t="s">
        <v>176</v>
      </c>
      <c r="C10" s="1" t="s">
        <v>177</v>
      </c>
      <c r="D10" s="1" t="s">
        <v>178</v>
      </c>
      <c r="E10" s="1" t="s">
        <v>138</v>
      </c>
      <c r="F10" s="1" t="s">
        <v>179</v>
      </c>
    </row>
    <row r="11" spans="1:6" ht="39" x14ac:dyDescent="0.2">
      <c r="B11" s="2" t="s">
        <v>173</v>
      </c>
      <c r="C11" s="14" t="s">
        <v>180</v>
      </c>
      <c r="D11" s="14" t="s">
        <v>159</v>
      </c>
      <c r="E11" s="11">
        <f>'📥 Inputs'!C35</f>
        <v>5.48</v>
      </c>
      <c r="F11" s="4" t="s">
        <v>181</v>
      </c>
    </row>
    <row r="12" spans="1:6" ht="65" x14ac:dyDescent="0.2">
      <c r="B12" s="2" t="s">
        <v>170</v>
      </c>
      <c r="C12" s="14" t="s">
        <v>182</v>
      </c>
      <c r="D12" s="14" t="s">
        <v>183</v>
      </c>
      <c r="E12" s="11">
        <f>'📥 Inputs'!C36</f>
        <v>10.96</v>
      </c>
      <c r="F12" s="4" t="s">
        <v>184</v>
      </c>
    </row>
    <row r="13" spans="1:6" ht="52" x14ac:dyDescent="0.2">
      <c r="B13" s="2" t="s">
        <v>185</v>
      </c>
      <c r="C13" s="14" t="s">
        <v>186</v>
      </c>
      <c r="D13" s="14" t="s">
        <v>187</v>
      </c>
      <c r="E13" s="11">
        <f>'📥 Inputs'!C37</f>
        <v>21.92</v>
      </c>
      <c r="F13" s="4" t="s">
        <v>188</v>
      </c>
    </row>
    <row r="14" spans="1:6" ht="52" x14ac:dyDescent="0.2">
      <c r="B14" s="2" t="s">
        <v>189</v>
      </c>
      <c r="C14" s="14" t="s">
        <v>183</v>
      </c>
      <c r="D14" s="14" t="s">
        <v>190</v>
      </c>
      <c r="E14" s="11">
        <f>'📥 Inputs'!C38</f>
        <v>48.92</v>
      </c>
      <c r="F14" s="4" t="s">
        <v>191</v>
      </c>
    </row>
    <row r="16" spans="1:6" ht="18" customHeight="1" x14ac:dyDescent="0.2">
      <c r="A16" s="24" t="s">
        <v>192</v>
      </c>
      <c r="B16" s="25"/>
      <c r="C16" s="25"/>
      <c r="D16" s="25"/>
      <c r="E16" s="25"/>
    </row>
    <row r="17" spans="1:6" ht="18" customHeight="1" x14ac:dyDescent="0.2">
      <c r="A17" s="32" t="s">
        <v>193</v>
      </c>
      <c r="B17" s="25"/>
      <c r="C17" s="25"/>
      <c r="D17" s="25"/>
      <c r="E17" s="25"/>
    </row>
    <row r="18" spans="1:6" x14ac:dyDescent="0.2">
      <c r="B18" s="1" t="s">
        <v>194</v>
      </c>
      <c r="C18" s="1" t="s">
        <v>195</v>
      </c>
      <c r="D18" s="1" t="s">
        <v>196</v>
      </c>
      <c r="E18" s="1" t="s">
        <v>197</v>
      </c>
      <c r="F18" s="1" t="s">
        <v>6</v>
      </c>
    </row>
    <row r="19" spans="1:6" ht="52" x14ac:dyDescent="0.2">
      <c r="B19" s="15" t="s">
        <v>198</v>
      </c>
      <c r="C19" s="15" t="s">
        <v>199</v>
      </c>
      <c r="D19" s="15" t="s">
        <v>200</v>
      </c>
      <c r="E19" s="15" t="s">
        <v>201</v>
      </c>
      <c r="F19" s="4" t="s">
        <v>202</v>
      </c>
    </row>
    <row r="20" spans="1:6" ht="52" x14ac:dyDescent="0.2">
      <c r="B20" s="15" t="s">
        <v>203</v>
      </c>
      <c r="C20" s="15" t="s">
        <v>204</v>
      </c>
      <c r="D20" s="15" t="s">
        <v>205</v>
      </c>
      <c r="E20" s="15" t="s">
        <v>206</v>
      </c>
      <c r="F20" s="4" t="s">
        <v>207</v>
      </c>
    </row>
    <row r="21" spans="1:6" ht="65" x14ac:dyDescent="0.2">
      <c r="B21" s="15" t="s">
        <v>208</v>
      </c>
      <c r="C21" s="15" t="s">
        <v>209</v>
      </c>
      <c r="D21" s="15" t="s">
        <v>210</v>
      </c>
      <c r="E21" s="15" t="s">
        <v>211</v>
      </c>
      <c r="F21" s="4" t="s">
        <v>212</v>
      </c>
    </row>
    <row r="22" spans="1:6" ht="26" x14ac:dyDescent="0.2">
      <c r="B22" s="15" t="s">
        <v>213</v>
      </c>
      <c r="C22" s="15" t="s">
        <v>214</v>
      </c>
      <c r="D22" s="15" t="s">
        <v>215</v>
      </c>
      <c r="E22" s="15" t="s">
        <v>216</v>
      </c>
      <c r="F22" s="4" t="s">
        <v>217</v>
      </c>
    </row>
  </sheetData>
  <mergeCells count="6">
    <mergeCell ref="A4:E4"/>
    <mergeCell ref="A2:E2"/>
    <mergeCell ref="A16:E16"/>
    <mergeCell ref="A1:E1"/>
    <mergeCell ref="A17:E17"/>
    <mergeCell ref="A9:E9"/>
  </mergeCells>
  <dataValidations count="1">
    <dataValidation type="list" sqref="C6:C7" xr:uid="{00000000-0002-0000-0300-000000000000}">
      <formula1>"e2-micro,e2-small,e2-medium,e2-standard-2,Cloud Run (auto)"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tabSelected="1" zoomScale="286" zoomScaleNormal="286" workbookViewId="0">
      <pane xSplit="1" ySplit="4" topLeftCell="B24" activePane="bottomRight" state="frozen"/>
      <selection pane="topRight"/>
      <selection pane="bottomLeft"/>
      <selection pane="bottomRight" activeCell="C20" sqref="C20"/>
    </sheetView>
  </sheetViews>
  <sheetFormatPr baseColWidth="10" defaultColWidth="8.83203125" defaultRowHeight="15" x14ac:dyDescent="0.2"/>
  <cols>
    <col min="1" max="1" width="3" customWidth="1"/>
    <col min="2" max="2" width="35" customWidth="1"/>
    <col min="3" max="5" width="22" customWidth="1"/>
  </cols>
  <sheetData>
    <row r="1" spans="1:5" ht="32" customHeight="1" x14ac:dyDescent="0.2">
      <c r="A1" s="27" t="s">
        <v>218</v>
      </c>
      <c r="B1" s="25"/>
      <c r="C1" s="25"/>
      <c r="D1" s="25"/>
      <c r="E1" s="25"/>
    </row>
    <row r="2" spans="1:5" x14ac:dyDescent="0.2">
      <c r="A2" s="33" t="s">
        <v>219</v>
      </c>
      <c r="B2" s="25"/>
      <c r="C2" s="25"/>
      <c r="D2" s="25"/>
      <c r="E2" s="25"/>
    </row>
    <row r="4" spans="1:5" ht="18" customHeight="1" x14ac:dyDescent="0.2">
      <c r="A4" s="24" t="s">
        <v>220</v>
      </c>
      <c r="B4" s="25"/>
      <c r="C4" s="25"/>
      <c r="D4" s="25"/>
      <c r="E4" s="25"/>
    </row>
    <row r="5" spans="1:5" x14ac:dyDescent="0.2">
      <c r="B5" s="2" t="s">
        <v>221</v>
      </c>
      <c r="C5" s="5">
        <f>'📥 Inputs'!C6</f>
        <v>5</v>
      </c>
      <c r="D5" s="15" t="s">
        <v>8</v>
      </c>
    </row>
    <row r="6" spans="1:5" x14ac:dyDescent="0.2">
      <c r="B6" s="2" t="s">
        <v>13</v>
      </c>
      <c r="C6" s="5">
        <f>'📥 Inputs'!C8</f>
        <v>20</v>
      </c>
      <c r="D6" s="15" t="s">
        <v>11</v>
      </c>
    </row>
    <row r="7" spans="1:5" x14ac:dyDescent="0.2">
      <c r="B7" s="2" t="s">
        <v>222</v>
      </c>
      <c r="C7" s="5">
        <f>'📊 Usage &amp; Capacity'!C13</f>
        <v>64800</v>
      </c>
      <c r="D7" s="15" t="s">
        <v>223</v>
      </c>
    </row>
    <row r="8" spans="1:5" x14ac:dyDescent="0.2">
      <c r="B8" s="2" t="s">
        <v>27</v>
      </c>
      <c r="C8" s="5" t="str">
        <f>'📥 Inputs'!C15</f>
        <v>asia-southeast1</v>
      </c>
      <c r="D8" s="15"/>
    </row>
    <row r="10" spans="1:5" ht="18" customHeight="1" x14ac:dyDescent="0.2">
      <c r="A10" s="24" t="s">
        <v>224</v>
      </c>
      <c r="B10" s="25"/>
      <c r="C10" s="25"/>
      <c r="D10" s="25"/>
      <c r="E10" s="25"/>
    </row>
    <row r="11" spans="1:5" x14ac:dyDescent="0.2">
      <c r="B11" s="1" t="s">
        <v>225</v>
      </c>
      <c r="C11" s="1" t="s">
        <v>138</v>
      </c>
      <c r="D11" s="1" t="s">
        <v>139</v>
      </c>
      <c r="E11" s="1" t="s">
        <v>226</v>
      </c>
    </row>
    <row r="12" spans="1:5" x14ac:dyDescent="0.2">
      <c r="B12" s="2" t="s">
        <v>227</v>
      </c>
      <c r="C12" s="11">
        <f>'💰 Cost Breakdown'!E7</f>
        <v>-3.7078857421875E-3</v>
      </c>
      <c r="D12" s="11">
        <f>'💰 Cost Breakdown'!F7</f>
        <v>-4.449462890625E-2</v>
      </c>
      <c r="E12" s="16" t="str">
        <f ca="1">C12/C15</f>
        <v/>
      </c>
    </row>
    <row r="13" spans="1:5" x14ac:dyDescent="0.2">
      <c r="B13" s="2" t="s">
        <v>228</v>
      </c>
      <c r="C13" s="11" t="str">
        <f ca="1">'💰 Cost Breakdown'!E14</f>
        <v/>
      </c>
      <c r="D13" s="11" t="str">
        <f ca="1">'💰 Cost Breakdown'!F14</f>
        <v/>
      </c>
      <c r="E13" s="16" t="str">
        <f ca="1">C13/C15</f>
        <v/>
      </c>
    </row>
    <row r="14" spans="1:5" x14ac:dyDescent="0.2">
      <c r="B14" s="2" t="s">
        <v>229</v>
      </c>
      <c r="C14" s="11">
        <f>'💰 Cost Breakdown'!E19</f>
        <v>0</v>
      </c>
      <c r="D14" s="11">
        <f>'💰 Cost Breakdown'!F19</f>
        <v>0</v>
      </c>
      <c r="E14" s="16" t="str">
        <f ca="1">C14/C15</f>
        <v/>
      </c>
    </row>
    <row r="15" spans="1:5" ht="22" customHeight="1" x14ac:dyDescent="0.2">
      <c r="B15" s="17" t="s">
        <v>230</v>
      </c>
      <c r="C15" s="18" t="str">
        <f ca="1">SUM(C12:C14)</f>
        <v/>
      </c>
      <c r="D15" s="18" t="str">
        <f ca="1">SUM(D12:D14)</f>
        <v/>
      </c>
      <c r="E15" s="19">
        <f>100%</f>
        <v>1</v>
      </c>
    </row>
    <row r="17" spans="1:6" ht="18" customHeight="1" x14ac:dyDescent="0.2">
      <c r="A17" s="24" t="s">
        <v>231</v>
      </c>
      <c r="B17" s="25"/>
      <c r="C17" s="25"/>
      <c r="D17" s="25"/>
      <c r="E17" s="25"/>
    </row>
    <row r="18" spans="1:6" ht="26" x14ac:dyDescent="0.2">
      <c r="B18" s="2" t="s">
        <v>232</v>
      </c>
      <c r="C18" s="11" t="str">
        <f ca="1">C15/'📥 Inputs'!C8</f>
        <v/>
      </c>
      <c r="D18" s="15" t="s">
        <v>233</v>
      </c>
      <c r="E18" s="4" t="s">
        <v>234</v>
      </c>
    </row>
    <row r="19" spans="1:6" ht="26" x14ac:dyDescent="0.2">
      <c r="B19" s="2" t="s">
        <v>235</v>
      </c>
      <c r="C19" s="11" t="str">
        <f ca="1">C15/'📥 Inputs'!C6</f>
        <v/>
      </c>
      <c r="D19" s="15" t="s">
        <v>236</v>
      </c>
      <c r="E19" s="4" t="s">
        <v>237</v>
      </c>
    </row>
    <row r="20" spans="1:6" ht="26" x14ac:dyDescent="0.2">
      <c r="B20" s="2" t="s">
        <v>238</v>
      </c>
      <c r="C20" s="20" t="str">
        <f ca="1">C15/'📊 Usage &amp; Capacity'!C13</f>
        <v/>
      </c>
      <c r="D20" s="15" t="s">
        <v>112</v>
      </c>
      <c r="E20" s="4" t="s">
        <v>239</v>
      </c>
    </row>
    <row r="21" spans="1:6" ht="26" x14ac:dyDescent="0.2">
      <c r="B21" s="2" t="s">
        <v>240</v>
      </c>
      <c r="C21" s="9" t="str">
        <f ca="1">'📊 Usage &amp; Capacity'!C27/'📥 Inputs'!C8</f>
        <v/>
      </c>
      <c r="D21" s="15" t="s">
        <v>241</v>
      </c>
      <c r="E21" s="4" t="s">
        <v>242</v>
      </c>
    </row>
    <row r="22" spans="1:6" ht="26" x14ac:dyDescent="0.2">
      <c r="B22" s="2" t="s">
        <v>243</v>
      </c>
      <c r="C22" s="21">
        <f>'📊 Usage &amp; Capacity'!C20/'📥 Inputs'!C8*1024</f>
        <v>4.74609375</v>
      </c>
      <c r="D22" s="15" t="s">
        <v>244</v>
      </c>
      <c r="E22" s="4" t="s">
        <v>245</v>
      </c>
    </row>
    <row r="25" spans="1:6" ht="18" customHeight="1" x14ac:dyDescent="0.2">
      <c r="A25" s="24" t="s">
        <v>246</v>
      </c>
      <c r="B25" s="25"/>
      <c r="C25" s="25"/>
      <c r="D25" s="25"/>
      <c r="E25" s="25"/>
    </row>
    <row r="26" spans="1:6" x14ac:dyDescent="0.2">
      <c r="B26" s="1" t="s">
        <v>247</v>
      </c>
      <c r="C26" s="1" t="s">
        <v>221</v>
      </c>
      <c r="D26" s="1" t="s">
        <v>13</v>
      </c>
      <c r="E26" s="1" t="s">
        <v>248</v>
      </c>
      <c r="F26" s="1" t="s">
        <v>249</v>
      </c>
    </row>
    <row r="27" spans="1:6" x14ac:dyDescent="0.2">
      <c r="B27" s="22" t="s">
        <v>250</v>
      </c>
      <c r="C27" s="15" t="s">
        <v>251</v>
      </c>
      <c r="D27" s="15" t="s">
        <v>252</v>
      </c>
      <c r="E27" s="23" t="s">
        <v>253</v>
      </c>
      <c r="F27" s="15" t="s">
        <v>254</v>
      </c>
    </row>
    <row r="28" spans="1:6" x14ac:dyDescent="0.2">
      <c r="B28" s="22" t="s">
        <v>255</v>
      </c>
      <c r="C28" s="15" t="s">
        <v>256</v>
      </c>
      <c r="D28" s="15" t="s">
        <v>257</v>
      </c>
      <c r="E28" s="23" t="s">
        <v>258</v>
      </c>
      <c r="F28" s="15" t="s">
        <v>259</v>
      </c>
    </row>
    <row r="29" spans="1:6" x14ac:dyDescent="0.2">
      <c r="B29" s="22" t="s">
        <v>260</v>
      </c>
      <c r="C29" s="15" t="s">
        <v>261</v>
      </c>
      <c r="D29" s="15" t="s">
        <v>262</v>
      </c>
      <c r="E29" s="23" t="s">
        <v>263</v>
      </c>
      <c r="F29" s="15" t="s">
        <v>264</v>
      </c>
    </row>
    <row r="30" spans="1:6" x14ac:dyDescent="0.2">
      <c r="B30" s="22" t="s">
        <v>265</v>
      </c>
      <c r="C30" s="15" t="s">
        <v>266</v>
      </c>
      <c r="D30" s="15" t="s">
        <v>267</v>
      </c>
      <c r="E30" s="23" t="s">
        <v>268</v>
      </c>
      <c r="F30" s="15" t="s">
        <v>269</v>
      </c>
    </row>
  </sheetData>
  <mergeCells count="6">
    <mergeCell ref="A4:E4"/>
    <mergeCell ref="A2:E2"/>
    <mergeCell ref="A10:E10"/>
    <mergeCell ref="A25:E25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📥 Inputs</vt:lpstr>
      <vt:lpstr>📊 Usage &amp; Capacity</vt:lpstr>
      <vt:lpstr>💰 Cost Breakdown</vt:lpstr>
      <vt:lpstr>🖥 Infrastructure</vt:lpstr>
      <vt:lpstr>📋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Supriyadi</cp:lastModifiedBy>
  <dcterms:created xsi:type="dcterms:W3CDTF">2026-04-02T14:42:29Z</dcterms:created>
  <dcterms:modified xsi:type="dcterms:W3CDTF">2026-04-02T22:56:08Z</dcterms:modified>
</cp:coreProperties>
</file>